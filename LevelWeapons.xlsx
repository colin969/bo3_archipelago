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eamLibrary\steamapps\common\Call of Duty Black Ops III\mods\bo3_archipelago\"/>
    </mc:Choice>
  </mc:AlternateContent>
  <xr:revisionPtr revIDLastSave="0" documentId="13_ncr:1_{F5D4C965-6DC0-4135-A8E5-92FB703B956B}" xr6:coauthVersionLast="47" xr6:coauthVersionMax="47" xr10:uidLastSave="{00000000-0000-0000-0000-000000000000}"/>
  <bookViews>
    <workbookView xWindow="-23040" yWindow="945" windowWidth="21540" windowHeight="13950" xr2:uid="{79965B3D-5369-4B2C-9D0A-FAF3E9D517A4}"/>
  </bookViews>
  <sheets>
    <sheet name="zm_castle" sheetId="1" r:id="rId1"/>
    <sheet name="weap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" i="1"/>
</calcChain>
</file>

<file path=xl/sharedStrings.xml><?xml version="1.0" encoding="utf-8"?>
<sst xmlns="http://schemas.openxmlformats.org/spreadsheetml/2006/main" count="215" uniqueCount="171">
  <si>
    <t>lmg_rpk</t>
  </si>
  <si>
    <t>castle_riotshield</t>
  </si>
  <si>
    <t>hero_gravityspikes_melee</t>
  </si>
  <si>
    <t>sniper_powerbolt</t>
  </si>
  <si>
    <t>sniper_fastsemi</t>
  </si>
  <si>
    <t>sniper_fastbolt</t>
  </si>
  <si>
    <t>smg_versatile</t>
  </si>
  <si>
    <t>smg_standard</t>
  </si>
  <si>
    <t>smg_fastfire</t>
  </si>
  <si>
    <t>smg_capacity</t>
  </si>
  <si>
    <t>smg_burst</t>
  </si>
  <si>
    <t>launcher_standard</t>
  </si>
  <si>
    <t>shotgun_semiauto</t>
  </si>
  <si>
    <t>shotgun_pump</t>
  </si>
  <si>
    <t>shotgun_precision</t>
  </si>
  <si>
    <t>shotgun_fullauto</t>
  </si>
  <si>
    <t>pistol_fullauto</t>
  </si>
  <si>
    <t>pistol_burst</t>
  </si>
  <si>
    <t>lmg_slowfire</t>
  </si>
  <si>
    <t>lmg_light</t>
  </si>
  <si>
    <t>lmg_heavy</t>
  </si>
  <si>
    <t>lmg_cqb</t>
  </si>
  <si>
    <t>ar_standard</t>
  </si>
  <si>
    <t>ar_marksman</t>
  </si>
  <si>
    <t>ar_longburst</t>
  </si>
  <si>
    <t>ar_damage</t>
  </si>
  <si>
    <t>ar_cqb</t>
  </si>
  <si>
    <t>ar_accurate</t>
  </si>
  <si>
    <t>hero_gravityspikes</t>
  </si>
  <si>
    <t>elemental_bow_demongate</t>
  </si>
  <si>
    <t>elemental_bow_wolf_howl</t>
  </si>
  <si>
    <t>elemental_bow_storm</t>
  </si>
  <si>
    <t>elemental_bow_rune_prison</t>
  </si>
  <si>
    <t>elemental_bow</t>
  </si>
  <si>
    <t>ray_gun</t>
  </si>
  <si>
    <t>knife</t>
  </si>
  <si>
    <t>bowie_knife</t>
  </si>
  <si>
    <t>frag_grenade</t>
  </si>
  <si>
    <t>cymbal_monkey</t>
  </si>
  <si>
    <t>bouncingbetty</t>
  </si>
  <si>
    <t>none</t>
  </si>
  <si>
    <t>pistol_standard</t>
  </si>
  <si>
    <t>weapon</t>
  </si>
  <si>
    <t>is_in_box</t>
  </si>
  <si>
    <t>friendly_name</t>
  </si>
  <si>
    <t>raygun_mark2</t>
  </si>
  <si>
    <t>raygun_mark3</t>
  </si>
  <si>
    <t>Ray Gun</t>
  </si>
  <si>
    <t>Ray Gun Mark 2</t>
  </si>
  <si>
    <t>Ray Gun Mark 3</t>
  </si>
  <si>
    <t>tesla_gun</t>
  </si>
  <si>
    <t>Wunderwaffe DG-2</t>
  </si>
  <si>
    <t>thundergun</t>
  </si>
  <si>
    <t>Thundergun</t>
  </si>
  <si>
    <t>special_crossbow_dw</t>
  </si>
  <si>
    <t>NX Shadowclaw</t>
  </si>
  <si>
    <t>ICR-1</t>
  </si>
  <si>
    <t>HVK-30</t>
  </si>
  <si>
    <t>Man-o-War</t>
  </si>
  <si>
    <t>M8A7</t>
  </si>
  <si>
    <t>Sheiva</t>
  </si>
  <si>
    <t>KN-44</t>
  </si>
  <si>
    <t>ar_famas</t>
  </si>
  <si>
    <t>FFAR</t>
  </si>
  <si>
    <t>ar_garand</t>
  </si>
  <si>
    <t>MX Garand</t>
  </si>
  <si>
    <t>ar_peacekeeper</t>
  </si>
  <si>
    <t>Peacekeeper MK2</t>
  </si>
  <si>
    <t>ar_an94</t>
  </si>
  <si>
    <t>AN-94</t>
  </si>
  <si>
    <t>ar_galil</t>
  </si>
  <si>
    <t>Galil</t>
  </si>
  <si>
    <t>ar_m14</t>
  </si>
  <si>
    <t>M14</t>
  </si>
  <si>
    <t>ar_m16</t>
  </si>
  <si>
    <t>M16</t>
  </si>
  <si>
    <t>ar_pulse</t>
  </si>
  <si>
    <t>LV8 Basilisk</t>
  </si>
  <si>
    <t>ar_fastburst</t>
  </si>
  <si>
    <t>XR-2</t>
  </si>
  <si>
    <t>ar_stg44</t>
  </si>
  <si>
    <t>STG-44</t>
  </si>
  <si>
    <t>Pharo</t>
  </si>
  <si>
    <t>Weevil</t>
  </si>
  <si>
    <t>Vesper</t>
  </si>
  <si>
    <t>Kuda</t>
  </si>
  <si>
    <t>VMP</t>
  </si>
  <si>
    <t>smg_sten</t>
  </si>
  <si>
    <t>Bootlegger</t>
  </si>
  <si>
    <t>smg_mp40</t>
  </si>
  <si>
    <t>HG-40</t>
  </si>
  <si>
    <t>smg_ppsh</t>
  </si>
  <si>
    <t>PPSH</t>
  </si>
  <si>
    <t>smg_thompson</t>
  </si>
  <si>
    <t>M1927</t>
  </si>
  <si>
    <t>smg_longrange</t>
  </si>
  <si>
    <t>Razorback</t>
  </si>
  <si>
    <t>smg_ak74u</t>
  </si>
  <si>
    <t>AK74u</t>
  </si>
  <si>
    <t>smg_msmc</t>
  </si>
  <si>
    <t>MSMC</t>
  </si>
  <si>
    <t>smg_nailgun</t>
  </si>
  <si>
    <t>Nailgun</t>
  </si>
  <si>
    <t>smg_rechamber</t>
  </si>
  <si>
    <t>HLX 4</t>
  </si>
  <si>
    <t>smg_sten2</t>
  </si>
  <si>
    <t>Sten</t>
  </si>
  <si>
    <t>smg_mp40_1940</t>
  </si>
  <si>
    <t>MP40</t>
  </si>
  <si>
    <t>Dingo</t>
  </si>
  <si>
    <t>48 Dredge</t>
  </si>
  <si>
    <t>BRM</t>
  </si>
  <si>
    <t>Gorgon</t>
  </si>
  <si>
    <t>lmg_infinite</t>
  </si>
  <si>
    <t>R70 Ajax</t>
  </si>
  <si>
    <t>RPK</t>
  </si>
  <si>
    <t>lmg_mg08</t>
  </si>
  <si>
    <t>MG08</t>
  </si>
  <si>
    <t>Haymaker 12</t>
  </si>
  <si>
    <t>Argus</t>
  </si>
  <si>
    <t>KRM-262</t>
  </si>
  <si>
    <t>205 Brecci</t>
  </si>
  <si>
    <t>shotgun_energy</t>
  </si>
  <si>
    <t>Banshii</t>
  </si>
  <si>
    <t>shotgun_olympia</t>
  </si>
  <si>
    <t>Olympia</t>
  </si>
  <si>
    <t>XM-53</t>
  </si>
  <si>
    <t>launcher_multi</t>
  </si>
  <si>
    <t>L4 Siege</t>
  </si>
  <si>
    <t>launcher_ex41</t>
  </si>
  <si>
    <t>China Lake</t>
  </si>
  <si>
    <t>Locus</t>
  </si>
  <si>
    <t>Drakon</t>
  </si>
  <si>
    <t>SVG-100</t>
  </si>
  <si>
    <t>sniper_double</t>
  </si>
  <si>
    <t>DSR-50</t>
  </si>
  <si>
    <t>sniper_quickscope</t>
  </si>
  <si>
    <t>RSA Interdiction</t>
  </si>
  <si>
    <t>sniper_mosin</t>
  </si>
  <si>
    <t>Dragoon</t>
  </si>
  <si>
    <t>sniper_chargeshot</t>
  </si>
  <si>
    <t>P-06</t>
  </si>
  <si>
    <t>sniper_xpr50</t>
  </si>
  <si>
    <t>XPR-50</t>
  </si>
  <si>
    <t>Bowie Knife</t>
  </si>
  <si>
    <t>pistol_revolver</t>
  </si>
  <si>
    <t>Blood Hound (SOE)</t>
  </si>
  <si>
    <t>MR-6</t>
  </si>
  <si>
    <t>RK5</t>
  </si>
  <si>
    <t>L-CAR</t>
  </si>
  <si>
    <t>pistol_energy</t>
  </si>
  <si>
    <t>Rift E9</t>
  </si>
  <si>
    <t>pistol_m1911</t>
  </si>
  <si>
    <t>M1911</t>
  </si>
  <si>
    <t>pistol_shotgun_dw</t>
  </si>
  <si>
    <t>Marshal 16</t>
  </si>
  <si>
    <t>pistol_c96</t>
  </si>
  <si>
    <t>Mauser C96</t>
  </si>
  <si>
    <t>Monkey Bombs</t>
  </si>
  <si>
    <t>Ragnarok DG-4</t>
  </si>
  <si>
    <t>Knife</t>
  </si>
  <si>
    <t>Frag Grenade</t>
  </si>
  <si>
    <t>None</t>
  </si>
  <si>
    <t>Zombie Shield</t>
  </si>
  <si>
    <t>Ragnarok DG-4 (Melee)</t>
  </si>
  <si>
    <t>Bouncing Betty</t>
  </si>
  <si>
    <t>Fire Bow</t>
  </si>
  <si>
    <t>Regular Bow</t>
  </si>
  <si>
    <t>Wolf Bow</t>
  </si>
  <si>
    <t>Lightning Bow</t>
  </si>
  <si>
    <t>Void Bow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</si>
</sst>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83B7-45BA-4E25-B626-03712EC4D01C}">
  <dimension ref="A1:C43"/>
  <sheetViews>
    <sheetView tabSelected="1" workbookViewId="0">
      <selection activeCell="D18" sqref="D18"/>
    </sheetView>
  </sheetViews>
  <sheetFormatPr defaultRowHeight="15" x14ac:dyDescent="0.25"/>
  <cols>
    <col min="1" max="1" width="26.28515625" bestFit="1" customWidth="1"/>
    <col min="2" max="2" width="9.140625" bestFit="1" customWidth="1"/>
    <col min="3" max="3" width="21.5703125" bestFit="1" customWidth="1"/>
  </cols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 t="s">
        <v>0</v>
      </c>
      <c r="B2" t="b">
        <v>1</v>
      </c>
      <c r="C2" t="str">
        <f>VLOOKUP(A2, weapons!A:B, 2, FALSE)</f>
        <v>RPK</v>
      </c>
    </row>
    <row r="3" spans="1:3" x14ac:dyDescent="0.25">
      <c r="A3" t="s">
        <v>3</v>
      </c>
      <c r="B3" t="b">
        <v>1</v>
      </c>
      <c r="C3" t="str">
        <f>VLOOKUP(A3, weapons!A:B, 2, FALSE)</f>
        <v>SVG-100</v>
      </c>
    </row>
    <row r="4" spans="1:3" x14ac:dyDescent="0.25">
      <c r="A4" t="s">
        <v>4</v>
      </c>
      <c r="B4" t="b">
        <v>1</v>
      </c>
      <c r="C4" t="str">
        <f>VLOOKUP(A4, weapons!A:B, 2, FALSE)</f>
        <v>Drakon</v>
      </c>
    </row>
    <row r="5" spans="1:3" x14ac:dyDescent="0.25">
      <c r="A5" t="s">
        <v>5</v>
      </c>
      <c r="B5" t="b">
        <v>1</v>
      </c>
      <c r="C5" t="str">
        <f>VLOOKUP(A5, weapons!A:B, 2, FALSE)</f>
        <v>Locus</v>
      </c>
    </row>
    <row r="6" spans="1:3" x14ac:dyDescent="0.25">
      <c r="A6" t="s">
        <v>6</v>
      </c>
      <c r="B6" t="b">
        <v>1</v>
      </c>
      <c r="C6" t="str">
        <f>VLOOKUP(A6, weapons!A:B, 2, FALSE)</f>
        <v>VMP</v>
      </c>
    </row>
    <row r="7" spans="1:3" x14ac:dyDescent="0.25">
      <c r="A7" t="s">
        <v>9</v>
      </c>
      <c r="B7" t="b">
        <v>1</v>
      </c>
      <c r="C7" t="str">
        <f>VLOOKUP(A7, weapons!A:B, 2, FALSE)</f>
        <v>Weevil</v>
      </c>
    </row>
    <row r="8" spans="1:3" x14ac:dyDescent="0.25">
      <c r="A8" t="s">
        <v>10</v>
      </c>
      <c r="B8" t="b">
        <v>1</v>
      </c>
      <c r="C8" t="str">
        <f>VLOOKUP(A8, weapons!A:B, 2, FALSE)</f>
        <v>Pharo</v>
      </c>
    </row>
    <row r="9" spans="1:3" x14ac:dyDescent="0.25">
      <c r="A9" t="s">
        <v>11</v>
      </c>
      <c r="B9" t="b">
        <v>1</v>
      </c>
      <c r="C9" t="str">
        <f>VLOOKUP(A9, weapons!A:B, 2, FALSE)</f>
        <v>XM-53</v>
      </c>
    </row>
    <row r="10" spans="1:3" x14ac:dyDescent="0.25">
      <c r="A10" t="s">
        <v>12</v>
      </c>
      <c r="B10" t="b">
        <v>1</v>
      </c>
      <c r="C10" t="str">
        <f>VLOOKUP(A10, weapons!A:B, 2, FALSE)</f>
        <v>205 Brecci</v>
      </c>
    </row>
    <row r="11" spans="1:3" x14ac:dyDescent="0.25">
      <c r="A11" t="s">
        <v>14</v>
      </c>
      <c r="B11" t="b">
        <v>1</v>
      </c>
      <c r="C11" t="str">
        <f>VLOOKUP(A11, weapons!A:B, 2, FALSE)</f>
        <v>Argus</v>
      </c>
    </row>
    <row r="12" spans="1:3" x14ac:dyDescent="0.25">
      <c r="A12" t="s">
        <v>15</v>
      </c>
      <c r="B12" t="b">
        <v>1</v>
      </c>
      <c r="C12" t="str">
        <f>VLOOKUP(A12, weapons!A:B, 2, FALSE)</f>
        <v>Haymaker 12</v>
      </c>
    </row>
    <row r="13" spans="1:3" x14ac:dyDescent="0.25">
      <c r="A13" t="s">
        <v>18</v>
      </c>
      <c r="B13" t="b">
        <v>1</v>
      </c>
      <c r="C13" t="str">
        <f>VLOOKUP(A13, weapons!A:B, 2, FALSE)</f>
        <v>Gorgon</v>
      </c>
    </row>
    <row r="14" spans="1:3" x14ac:dyDescent="0.25">
      <c r="A14" t="s">
        <v>19</v>
      </c>
      <c r="B14" t="b">
        <v>1</v>
      </c>
      <c r="C14" t="str">
        <f>VLOOKUP(A14, weapons!A:B, 2, FALSE)</f>
        <v>BRM</v>
      </c>
    </row>
    <row r="15" spans="1:3" x14ac:dyDescent="0.25">
      <c r="A15" t="s">
        <v>20</v>
      </c>
      <c r="B15" t="b">
        <v>1</v>
      </c>
      <c r="C15" t="str">
        <f>VLOOKUP(A15, weapons!A:B, 2, FALSE)</f>
        <v>48 Dredge</v>
      </c>
    </row>
    <row r="16" spans="1:3" x14ac:dyDescent="0.25">
      <c r="A16" t="s">
        <v>21</v>
      </c>
      <c r="B16" t="b">
        <v>1</v>
      </c>
      <c r="C16" t="str">
        <f>VLOOKUP(A16, weapons!A:B, 2, FALSE)</f>
        <v>Dingo</v>
      </c>
    </row>
    <row r="17" spans="1:3" x14ac:dyDescent="0.25">
      <c r="A17" t="s">
        <v>23</v>
      </c>
      <c r="B17" t="b">
        <v>1</v>
      </c>
      <c r="C17" t="str">
        <f>VLOOKUP(A17, weapons!A:B, 2, FALSE)</f>
        <v>Sheiva</v>
      </c>
    </row>
    <row r="18" spans="1:3" x14ac:dyDescent="0.25">
      <c r="A18" t="s">
        <v>25</v>
      </c>
      <c r="B18" t="b">
        <v>1</v>
      </c>
      <c r="C18" t="str">
        <f>VLOOKUP(A18, weapons!A:B, 2, FALSE)</f>
        <v>Man-o-War</v>
      </c>
    </row>
    <row r="19" spans="1:3" x14ac:dyDescent="0.25">
      <c r="A19" t="s">
        <v>26</v>
      </c>
      <c r="B19" t="b">
        <v>1</v>
      </c>
      <c r="C19" t="str">
        <f>VLOOKUP(A19, weapons!A:B, 2, FALSE)</f>
        <v>HVK-30</v>
      </c>
    </row>
    <row r="20" spans="1:3" x14ac:dyDescent="0.25">
      <c r="A20" t="s">
        <v>27</v>
      </c>
      <c r="B20" t="b">
        <v>1</v>
      </c>
      <c r="C20" t="str">
        <f>VLOOKUP(A20, weapons!A:B, 2, FALSE)</f>
        <v>ICR-1</v>
      </c>
    </row>
    <row r="21" spans="1:3" x14ac:dyDescent="0.25">
      <c r="A21" t="s">
        <v>34</v>
      </c>
      <c r="B21" t="b">
        <v>1</v>
      </c>
      <c r="C21" t="str">
        <f>VLOOKUP(A21, weapons!A:B, 2, FALSE)</f>
        <v>Ray Gun</v>
      </c>
    </row>
    <row r="22" spans="1:3" x14ac:dyDescent="0.25">
      <c r="A22" t="s">
        <v>38</v>
      </c>
      <c r="B22" t="b">
        <v>1</v>
      </c>
      <c r="C22" t="str">
        <f>VLOOKUP(A22, weapons!A:B, 2, FALSE)</f>
        <v>Monkey Bombs</v>
      </c>
    </row>
    <row r="23" spans="1:3" x14ac:dyDescent="0.25">
      <c r="A23" t="s">
        <v>39</v>
      </c>
      <c r="B23" t="b">
        <v>1</v>
      </c>
      <c r="C23" t="str">
        <f>VLOOKUP(A23, weapons!A:B, 2, FALSE)</f>
        <v>Bouncing Betty</v>
      </c>
    </row>
    <row r="24" spans="1:3" x14ac:dyDescent="0.25">
      <c r="A24" t="s">
        <v>1</v>
      </c>
      <c r="B24" t="b">
        <v>0</v>
      </c>
      <c r="C24" t="str">
        <f>VLOOKUP(A24, weapons!A:B, 2, FALSE)</f>
        <v>Zombie Shield</v>
      </c>
    </row>
    <row r="25" spans="1:3" x14ac:dyDescent="0.25">
      <c r="A25" t="s">
        <v>2</v>
      </c>
      <c r="B25" t="b">
        <v>0</v>
      </c>
      <c r="C25" t="str">
        <f>VLOOKUP(A25, weapons!A:B, 2, FALSE)</f>
        <v>Ragnarok DG-4 (Melee)</v>
      </c>
    </row>
    <row r="26" spans="1:3" x14ac:dyDescent="0.25">
      <c r="A26" t="s">
        <v>7</v>
      </c>
      <c r="B26" t="b">
        <v>0</v>
      </c>
      <c r="C26" t="str">
        <f>VLOOKUP(A26, weapons!A:B, 2, FALSE)</f>
        <v>Kuda</v>
      </c>
    </row>
    <row r="27" spans="1:3" x14ac:dyDescent="0.25">
      <c r="A27" t="s">
        <v>8</v>
      </c>
      <c r="B27" t="b">
        <v>0</v>
      </c>
      <c r="C27" t="str">
        <f>VLOOKUP(A27, weapons!A:B, 2, FALSE)</f>
        <v>Vesper</v>
      </c>
    </row>
    <row r="28" spans="1:3" x14ac:dyDescent="0.25">
      <c r="A28" t="s">
        <v>13</v>
      </c>
      <c r="B28" t="b">
        <v>0</v>
      </c>
      <c r="C28" t="str">
        <f>VLOOKUP(A28, weapons!A:B, 2, FALSE)</f>
        <v>KRM-262</v>
      </c>
    </row>
    <row r="29" spans="1:3" x14ac:dyDescent="0.25">
      <c r="A29" t="s">
        <v>16</v>
      </c>
      <c r="B29" t="b">
        <v>0</v>
      </c>
      <c r="C29" t="str">
        <f>VLOOKUP(A29, weapons!A:B, 2, FALSE)</f>
        <v>L-CAR</v>
      </c>
    </row>
    <row r="30" spans="1:3" x14ac:dyDescent="0.25">
      <c r="A30" t="s">
        <v>17</v>
      </c>
      <c r="B30" t="b">
        <v>0</v>
      </c>
      <c r="C30" t="str">
        <f>VLOOKUP(A30, weapons!A:B, 2, FALSE)</f>
        <v>RK5</v>
      </c>
    </row>
    <row r="31" spans="1:3" x14ac:dyDescent="0.25">
      <c r="A31" t="s">
        <v>22</v>
      </c>
      <c r="B31" t="b">
        <v>0</v>
      </c>
      <c r="C31" t="str">
        <f>VLOOKUP(A31, weapons!A:B, 2, FALSE)</f>
        <v>KN-44</v>
      </c>
    </row>
    <row r="32" spans="1:3" x14ac:dyDescent="0.25">
      <c r="A32" t="s">
        <v>24</v>
      </c>
      <c r="B32" t="b">
        <v>0</v>
      </c>
      <c r="C32" t="str">
        <f>VLOOKUP(A32, weapons!A:B, 2, FALSE)</f>
        <v>M8A7</v>
      </c>
    </row>
    <row r="33" spans="1:3" x14ac:dyDescent="0.25">
      <c r="A33" t="s">
        <v>28</v>
      </c>
      <c r="B33" t="b">
        <v>0</v>
      </c>
      <c r="C33" t="str">
        <f>VLOOKUP(A33, weapons!A:B, 2, FALSE)</f>
        <v>Ragnarok DG-4</v>
      </c>
    </row>
    <row r="34" spans="1:3" x14ac:dyDescent="0.25">
      <c r="A34" t="s">
        <v>29</v>
      </c>
      <c r="B34" t="b">
        <v>0</v>
      </c>
      <c r="C34" t="str">
        <f>VLOOKUP(A34, weapons!A:B, 2, FALSE)</f>
        <v>Void Bow</v>
      </c>
    </row>
    <row r="35" spans="1:3" x14ac:dyDescent="0.25">
      <c r="A35" t="s">
        <v>30</v>
      </c>
      <c r="B35" t="b">
        <v>0</v>
      </c>
      <c r="C35" t="str">
        <f>VLOOKUP(A35, weapons!A:B, 2, FALSE)</f>
        <v>Wolf Bow</v>
      </c>
    </row>
    <row r="36" spans="1:3" x14ac:dyDescent="0.25">
      <c r="A36" t="s">
        <v>31</v>
      </c>
      <c r="B36" t="b">
        <v>0</v>
      </c>
      <c r="C36" t="str">
        <f>VLOOKUP(A36, weapons!A:B, 2, FALSE)</f>
        <v>Lightning Bow</v>
      </c>
    </row>
    <row r="37" spans="1:3" x14ac:dyDescent="0.25">
      <c r="A37" t="s">
        <v>32</v>
      </c>
      <c r="B37" t="b">
        <v>0</v>
      </c>
      <c r="C37" t="str">
        <f>VLOOKUP(A37, weapons!A:B, 2, FALSE)</f>
        <v>Fire Bow</v>
      </c>
    </row>
    <row r="38" spans="1:3" x14ac:dyDescent="0.25">
      <c r="A38" t="s">
        <v>33</v>
      </c>
      <c r="B38" t="b">
        <v>0</v>
      </c>
      <c r="C38" t="str">
        <f>VLOOKUP(A38, weapons!A:B, 2, FALSE)</f>
        <v>Regular Bow</v>
      </c>
    </row>
    <row r="39" spans="1:3" x14ac:dyDescent="0.25">
      <c r="A39" t="s">
        <v>35</v>
      </c>
      <c r="B39" t="b">
        <v>0</v>
      </c>
      <c r="C39" t="str">
        <f>VLOOKUP(A39, weapons!A:B, 2, FALSE)</f>
        <v>Knife</v>
      </c>
    </row>
    <row r="40" spans="1:3" x14ac:dyDescent="0.25">
      <c r="A40" t="s">
        <v>36</v>
      </c>
      <c r="B40" t="b">
        <v>0</v>
      </c>
      <c r="C40" t="str">
        <f>VLOOKUP(A40, weapons!A:B, 2, FALSE)</f>
        <v>Bowie Knife</v>
      </c>
    </row>
    <row r="41" spans="1:3" x14ac:dyDescent="0.25">
      <c r="A41" t="s">
        <v>37</v>
      </c>
      <c r="B41" t="b">
        <v>0</v>
      </c>
      <c r="C41" t="str">
        <f>VLOOKUP(A41, weapons!A:B, 2, FALSE)</f>
        <v>Frag Grenade</v>
      </c>
    </row>
    <row r="42" spans="1:3" x14ac:dyDescent="0.25">
      <c r="A42" t="s">
        <v>40</v>
      </c>
      <c r="B42" t="b">
        <v>0</v>
      </c>
      <c r="C42" t="str">
        <f>VLOOKUP(A42, weapons!A:B, 2, FALSE)</f>
        <v>None</v>
      </c>
    </row>
    <row r="43" spans="1:3" x14ac:dyDescent="0.25">
      <c r="A43" t="s">
        <v>41</v>
      </c>
      <c r="B43" t="b">
        <v>0</v>
      </c>
      <c r="C43" t="str">
        <f>VLOOKUP(A43, weapons!A:B, 2, FALSE)</f>
        <v>MR-6</v>
      </c>
    </row>
  </sheetData>
  <sortState xmlns:xlrd2="http://schemas.microsoft.com/office/spreadsheetml/2017/richdata2" ref="A2:C43">
    <sortCondition descending="1" ref="B2:B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B039-9E98-4557-8F2E-23EB35827DC0}">
  <dimension ref="A1:B85"/>
  <sheetViews>
    <sheetView topLeftCell="A73" workbookViewId="0">
      <selection activeCell="A93" sqref="A93"/>
    </sheetView>
  </sheetViews>
  <sheetFormatPr defaultRowHeight="15" x14ac:dyDescent="0.25"/>
  <cols>
    <col min="1" max="1" width="26.28515625" bestFit="1" customWidth="1"/>
    <col min="2" max="2" width="21.5703125" bestFit="1" customWidth="1"/>
  </cols>
  <sheetData>
    <row r="1" spans="1:2" x14ac:dyDescent="0.25">
      <c r="A1" t="s">
        <v>42</v>
      </c>
      <c r="B1" t="s">
        <v>44</v>
      </c>
    </row>
    <row r="2" spans="1:2" x14ac:dyDescent="0.25">
      <c r="A2" t="s">
        <v>34</v>
      </c>
      <c r="B2" t="s">
        <v>47</v>
      </c>
    </row>
    <row r="3" spans="1:2" x14ac:dyDescent="0.25">
      <c r="A3" t="s">
        <v>45</v>
      </c>
      <c r="B3" t="s">
        <v>48</v>
      </c>
    </row>
    <row r="4" spans="1:2" x14ac:dyDescent="0.25">
      <c r="A4" t="s">
        <v>46</v>
      </c>
      <c r="B4" t="s">
        <v>49</v>
      </c>
    </row>
    <row r="5" spans="1:2" x14ac:dyDescent="0.25">
      <c r="A5" t="s">
        <v>50</v>
      </c>
      <c r="B5" t="s">
        <v>51</v>
      </c>
    </row>
    <row r="6" spans="1:2" x14ac:dyDescent="0.25">
      <c r="A6" t="s">
        <v>52</v>
      </c>
      <c r="B6" t="s">
        <v>53</v>
      </c>
    </row>
    <row r="7" spans="1:2" x14ac:dyDescent="0.25">
      <c r="A7" t="s">
        <v>54</v>
      </c>
      <c r="B7" t="s">
        <v>55</v>
      </c>
    </row>
    <row r="8" spans="1:2" x14ac:dyDescent="0.25">
      <c r="A8" t="s">
        <v>27</v>
      </c>
      <c r="B8" t="s">
        <v>56</v>
      </c>
    </row>
    <row r="9" spans="1:2" x14ac:dyDescent="0.25">
      <c r="A9" t="s">
        <v>26</v>
      </c>
      <c r="B9" t="s">
        <v>57</v>
      </c>
    </row>
    <row r="10" spans="1:2" x14ac:dyDescent="0.25">
      <c r="A10" t="s">
        <v>25</v>
      </c>
      <c r="B10" t="s">
        <v>58</v>
      </c>
    </row>
    <row r="11" spans="1:2" x14ac:dyDescent="0.25">
      <c r="A11" t="s">
        <v>24</v>
      </c>
      <c r="B11" t="s">
        <v>59</v>
      </c>
    </row>
    <row r="12" spans="1:2" x14ac:dyDescent="0.25">
      <c r="A12" t="s">
        <v>23</v>
      </c>
      <c r="B12" t="s">
        <v>60</v>
      </c>
    </row>
    <row r="13" spans="1:2" x14ac:dyDescent="0.25">
      <c r="A13" t="s">
        <v>22</v>
      </c>
      <c r="B13" t="s">
        <v>61</v>
      </c>
    </row>
    <row r="14" spans="1:2" x14ac:dyDescent="0.25">
      <c r="A14" t="s">
        <v>62</v>
      </c>
      <c r="B14" t="s">
        <v>63</v>
      </c>
    </row>
    <row r="15" spans="1:2" x14ac:dyDescent="0.25">
      <c r="A15" t="s">
        <v>64</v>
      </c>
      <c r="B15" t="s">
        <v>65</v>
      </c>
    </row>
    <row r="16" spans="1:2" x14ac:dyDescent="0.25">
      <c r="A16" t="s">
        <v>66</v>
      </c>
      <c r="B16" t="s">
        <v>67</v>
      </c>
    </row>
    <row r="17" spans="1:2" x14ac:dyDescent="0.25">
      <c r="A17" t="s">
        <v>68</v>
      </c>
      <c r="B17" t="s">
        <v>69</v>
      </c>
    </row>
    <row r="18" spans="1:2" x14ac:dyDescent="0.25">
      <c r="A18" t="s">
        <v>70</v>
      </c>
      <c r="B18" t="s">
        <v>71</v>
      </c>
    </row>
    <row r="19" spans="1:2" x14ac:dyDescent="0.25">
      <c r="A19" t="s">
        <v>72</v>
      </c>
      <c r="B19" t="s">
        <v>73</v>
      </c>
    </row>
    <row r="20" spans="1:2" x14ac:dyDescent="0.25">
      <c r="A20" t="s">
        <v>74</v>
      </c>
      <c r="B20" t="s">
        <v>75</v>
      </c>
    </row>
    <row r="21" spans="1:2" x14ac:dyDescent="0.25">
      <c r="A21" t="s">
        <v>76</v>
      </c>
      <c r="B21" t="s">
        <v>77</v>
      </c>
    </row>
    <row r="22" spans="1:2" x14ac:dyDescent="0.25">
      <c r="A22" t="s">
        <v>78</v>
      </c>
      <c r="B22" t="s">
        <v>79</v>
      </c>
    </row>
    <row r="23" spans="1:2" x14ac:dyDescent="0.25">
      <c r="A23" t="s">
        <v>80</v>
      </c>
      <c r="B23" t="s">
        <v>81</v>
      </c>
    </row>
    <row r="24" spans="1:2" x14ac:dyDescent="0.25">
      <c r="A24" t="s">
        <v>10</v>
      </c>
      <c r="B24" t="s">
        <v>82</v>
      </c>
    </row>
    <row r="25" spans="1:2" x14ac:dyDescent="0.25">
      <c r="A25" t="s">
        <v>9</v>
      </c>
      <c r="B25" t="s">
        <v>83</v>
      </c>
    </row>
    <row r="26" spans="1:2" x14ac:dyDescent="0.25">
      <c r="A26" t="s">
        <v>8</v>
      </c>
      <c r="B26" t="s">
        <v>84</v>
      </c>
    </row>
    <row r="27" spans="1:2" x14ac:dyDescent="0.25">
      <c r="A27" t="s">
        <v>7</v>
      </c>
      <c r="B27" t="s">
        <v>85</v>
      </c>
    </row>
    <row r="28" spans="1:2" x14ac:dyDescent="0.25">
      <c r="A28" t="s">
        <v>6</v>
      </c>
      <c r="B28" t="s">
        <v>86</v>
      </c>
    </row>
    <row r="29" spans="1:2" x14ac:dyDescent="0.25">
      <c r="A29" t="s">
        <v>87</v>
      </c>
      <c r="B29" t="s">
        <v>88</v>
      </c>
    </row>
    <row r="30" spans="1:2" x14ac:dyDescent="0.25">
      <c r="A30" t="s">
        <v>89</v>
      </c>
      <c r="B30" t="s">
        <v>90</v>
      </c>
    </row>
    <row r="31" spans="1:2" x14ac:dyDescent="0.25">
      <c r="A31" t="s">
        <v>91</v>
      </c>
      <c r="B31" t="s">
        <v>92</v>
      </c>
    </row>
    <row r="32" spans="1:2" x14ac:dyDescent="0.25">
      <c r="A32" t="s">
        <v>93</v>
      </c>
      <c r="B32" t="s">
        <v>94</v>
      </c>
    </row>
    <row r="33" spans="1:2" x14ac:dyDescent="0.25">
      <c r="A33" t="s">
        <v>95</v>
      </c>
      <c r="B33" t="s">
        <v>96</v>
      </c>
    </row>
    <row r="34" spans="1:2" x14ac:dyDescent="0.25">
      <c r="A34" t="s">
        <v>97</v>
      </c>
      <c r="B34" t="s">
        <v>98</v>
      </c>
    </row>
    <row r="35" spans="1:2" x14ac:dyDescent="0.25">
      <c r="A35" t="s">
        <v>99</v>
      </c>
      <c r="B35" t="s">
        <v>100</v>
      </c>
    </row>
    <row r="36" spans="1:2" x14ac:dyDescent="0.25">
      <c r="A36" t="s">
        <v>101</v>
      </c>
      <c r="B36" t="s">
        <v>102</v>
      </c>
    </row>
    <row r="37" spans="1:2" x14ac:dyDescent="0.25">
      <c r="A37" t="s">
        <v>103</v>
      </c>
      <c r="B37" t="s">
        <v>104</v>
      </c>
    </row>
    <row r="38" spans="1:2" x14ac:dyDescent="0.25">
      <c r="A38" t="s">
        <v>105</v>
      </c>
      <c r="B38" t="s">
        <v>106</v>
      </c>
    </row>
    <row r="39" spans="1:2" x14ac:dyDescent="0.25">
      <c r="A39" t="s">
        <v>107</v>
      </c>
      <c r="B39" t="s">
        <v>108</v>
      </c>
    </row>
    <row r="40" spans="1:2" x14ac:dyDescent="0.25">
      <c r="A40" t="s">
        <v>21</v>
      </c>
      <c r="B40" t="s">
        <v>109</v>
      </c>
    </row>
    <row r="41" spans="1:2" x14ac:dyDescent="0.25">
      <c r="A41" t="s">
        <v>20</v>
      </c>
      <c r="B41" t="s">
        <v>110</v>
      </c>
    </row>
    <row r="42" spans="1:2" x14ac:dyDescent="0.25">
      <c r="A42" t="s">
        <v>19</v>
      </c>
      <c r="B42" t="s">
        <v>111</v>
      </c>
    </row>
    <row r="43" spans="1:2" x14ac:dyDescent="0.25">
      <c r="A43" t="s">
        <v>18</v>
      </c>
      <c r="B43" t="s">
        <v>112</v>
      </c>
    </row>
    <row r="44" spans="1:2" x14ac:dyDescent="0.25">
      <c r="A44" t="s">
        <v>113</v>
      </c>
      <c r="B44" t="s">
        <v>114</v>
      </c>
    </row>
    <row r="45" spans="1:2" x14ac:dyDescent="0.25">
      <c r="A45" t="s">
        <v>0</v>
      </c>
      <c r="B45" t="s">
        <v>115</v>
      </c>
    </row>
    <row r="46" spans="1:2" x14ac:dyDescent="0.25">
      <c r="A46" t="s">
        <v>116</v>
      </c>
      <c r="B46" t="s">
        <v>117</v>
      </c>
    </row>
    <row r="47" spans="1:2" x14ac:dyDescent="0.25">
      <c r="A47" t="s">
        <v>15</v>
      </c>
      <c r="B47" t="s">
        <v>118</v>
      </c>
    </row>
    <row r="48" spans="1:2" x14ac:dyDescent="0.25">
      <c r="A48" t="s">
        <v>14</v>
      </c>
      <c r="B48" t="s">
        <v>119</v>
      </c>
    </row>
    <row r="49" spans="1:2" x14ac:dyDescent="0.25">
      <c r="A49" t="s">
        <v>13</v>
      </c>
      <c r="B49" t="s">
        <v>120</v>
      </c>
    </row>
    <row r="50" spans="1:2" x14ac:dyDescent="0.25">
      <c r="A50" t="s">
        <v>12</v>
      </c>
      <c r="B50" t="s">
        <v>121</v>
      </c>
    </row>
    <row r="51" spans="1:2" x14ac:dyDescent="0.25">
      <c r="A51" t="s">
        <v>122</v>
      </c>
      <c r="B51" t="s">
        <v>123</v>
      </c>
    </row>
    <row r="52" spans="1:2" x14ac:dyDescent="0.25">
      <c r="A52" t="s">
        <v>124</v>
      </c>
      <c r="B52" t="s">
        <v>125</v>
      </c>
    </row>
    <row r="53" spans="1:2" x14ac:dyDescent="0.25">
      <c r="A53" t="s">
        <v>11</v>
      </c>
      <c r="B53" t="s">
        <v>126</v>
      </c>
    </row>
    <row r="54" spans="1:2" x14ac:dyDescent="0.25">
      <c r="A54" t="s">
        <v>127</v>
      </c>
      <c r="B54" t="s">
        <v>128</v>
      </c>
    </row>
    <row r="55" spans="1:2" x14ac:dyDescent="0.25">
      <c r="A55" t="s">
        <v>129</v>
      </c>
      <c r="B55" t="s">
        <v>130</v>
      </c>
    </row>
    <row r="56" spans="1:2" x14ac:dyDescent="0.25">
      <c r="A56" t="s">
        <v>5</v>
      </c>
      <c r="B56" t="s">
        <v>131</v>
      </c>
    </row>
    <row r="57" spans="1:2" x14ac:dyDescent="0.25">
      <c r="A57" t="s">
        <v>4</v>
      </c>
      <c r="B57" t="s">
        <v>132</v>
      </c>
    </row>
    <row r="58" spans="1:2" x14ac:dyDescent="0.25">
      <c r="A58" t="s">
        <v>3</v>
      </c>
      <c r="B58" t="s">
        <v>133</v>
      </c>
    </row>
    <row r="59" spans="1:2" x14ac:dyDescent="0.25">
      <c r="A59" t="s">
        <v>134</v>
      </c>
      <c r="B59" t="s">
        <v>135</v>
      </c>
    </row>
    <row r="60" spans="1:2" x14ac:dyDescent="0.25">
      <c r="A60" t="s">
        <v>136</v>
      </c>
      <c r="B60" t="s">
        <v>137</v>
      </c>
    </row>
    <row r="61" spans="1:2" x14ac:dyDescent="0.25">
      <c r="A61" t="s">
        <v>138</v>
      </c>
      <c r="B61" t="s">
        <v>139</v>
      </c>
    </row>
    <row r="62" spans="1:2" x14ac:dyDescent="0.25">
      <c r="A62" t="s">
        <v>140</v>
      </c>
      <c r="B62" t="s">
        <v>141</v>
      </c>
    </row>
    <row r="63" spans="1:2" x14ac:dyDescent="0.25">
      <c r="A63" t="s">
        <v>142</v>
      </c>
      <c r="B63" t="s">
        <v>143</v>
      </c>
    </row>
    <row r="64" spans="1:2" x14ac:dyDescent="0.25">
      <c r="A64" t="s">
        <v>145</v>
      </c>
      <c r="B64" t="s">
        <v>146</v>
      </c>
    </row>
    <row r="65" spans="1:2" x14ac:dyDescent="0.25">
      <c r="A65" t="s">
        <v>41</v>
      </c>
      <c r="B65" t="s">
        <v>147</v>
      </c>
    </row>
    <row r="66" spans="1:2" x14ac:dyDescent="0.25">
      <c r="A66" t="s">
        <v>17</v>
      </c>
      <c r="B66" t="s">
        <v>148</v>
      </c>
    </row>
    <row r="67" spans="1:2" x14ac:dyDescent="0.25">
      <c r="A67" t="s">
        <v>16</v>
      </c>
      <c r="B67" t="s">
        <v>149</v>
      </c>
    </row>
    <row r="68" spans="1:2" x14ac:dyDescent="0.25">
      <c r="A68" t="s">
        <v>150</v>
      </c>
      <c r="B68" t="s">
        <v>151</v>
      </c>
    </row>
    <row r="69" spans="1:2" x14ac:dyDescent="0.25">
      <c r="A69" t="s">
        <v>152</v>
      </c>
      <c r="B69" t="s">
        <v>153</v>
      </c>
    </row>
    <row r="70" spans="1:2" x14ac:dyDescent="0.25">
      <c r="A70" t="s">
        <v>154</v>
      </c>
      <c r="B70" t="s">
        <v>155</v>
      </c>
    </row>
    <row r="71" spans="1:2" x14ac:dyDescent="0.25">
      <c r="A71" t="s">
        <v>156</v>
      </c>
      <c r="B71" t="s">
        <v>157</v>
      </c>
    </row>
    <row r="72" spans="1:2" x14ac:dyDescent="0.25">
      <c r="A72" t="s">
        <v>38</v>
      </c>
      <c r="B72" t="s">
        <v>158</v>
      </c>
    </row>
    <row r="73" spans="1:2" x14ac:dyDescent="0.25">
      <c r="A73" t="s">
        <v>28</v>
      </c>
      <c r="B73" t="s">
        <v>159</v>
      </c>
    </row>
    <row r="74" spans="1:2" x14ac:dyDescent="0.25">
      <c r="A74" t="s">
        <v>35</v>
      </c>
      <c r="B74" t="s">
        <v>160</v>
      </c>
    </row>
    <row r="75" spans="1:2" x14ac:dyDescent="0.25">
      <c r="A75" t="s">
        <v>36</v>
      </c>
      <c r="B75" t="s">
        <v>144</v>
      </c>
    </row>
    <row r="76" spans="1:2" x14ac:dyDescent="0.25">
      <c r="A76" t="s">
        <v>37</v>
      </c>
      <c r="B76" t="s">
        <v>161</v>
      </c>
    </row>
    <row r="77" spans="1:2" x14ac:dyDescent="0.25">
      <c r="A77" t="s">
        <v>40</v>
      </c>
      <c r="B77" t="s">
        <v>162</v>
      </c>
    </row>
    <row r="78" spans="1:2" x14ac:dyDescent="0.25">
      <c r="A78" t="s">
        <v>1</v>
      </c>
      <c r="B78" t="s">
        <v>163</v>
      </c>
    </row>
    <row r="79" spans="1:2" x14ac:dyDescent="0.25">
      <c r="A79" t="s">
        <v>2</v>
      </c>
      <c r="B79" t="s">
        <v>164</v>
      </c>
    </row>
    <row r="80" spans="1:2" x14ac:dyDescent="0.25">
      <c r="A80" t="s">
        <v>39</v>
      </c>
      <c r="B80" t="s">
        <v>165</v>
      </c>
    </row>
    <row r="81" spans="1:2" x14ac:dyDescent="0.25">
      <c r="A81" t="s">
        <v>33</v>
      </c>
      <c r="B81" t="s">
        <v>167</v>
      </c>
    </row>
    <row r="82" spans="1:2" x14ac:dyDescent="0.25">
      <c r="A82" t="s">
        <v>32</v>
      </c>
      <c r="B82" t="s">
        <v>166</v>
      </c>
    </row>
    <row r="83" spans="1:2" x14ac:dyDescent="0.25">
      <c r="A83" t="s">
        <v>30</v>
      </c>
      <c r="B83" t="s">
        <v>168</v>
      </c>
    </row>
    <row r="84" spans="1:2" x14ac:dyDescent="0.25">
      <c r="A84" t="s">
        <v>31</v>
      </c>
      <c r="B84" t="s">
        <v>169</v>
      </c>
    </row>
    <row r="85" spans="1:2" x14ac:dyDescent="0.25">
      <c r="A85" t="s">
        <v>29</v>
      </c>
      <c r="B85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0E4263-AB4F-4D12-B383-A8ABFFD07E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zm_castle</vt:lpstr>
      <vt:lpstr>weapons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</dc:creator>
  <cp:lastModifiedBy>Colin B</cp:lastModifiedBy>
  <dcterms:created xsi:type="dcterms:W3CDTF">2026-01-28T19:03:58Z</dcterms:created>
  <dcterms:modified xsi:type="dcterms:W3CDTF">2026-01-28T19:36:08Z</dcterms:modified>
</cp:coreProperties>
</file>